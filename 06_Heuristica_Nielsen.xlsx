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1_999147253E0B200B88F418714FEE1BF3A0B62B7A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ciones" sheetId="1" r:id="rId1"/>
    <sheet name="Evaluacion" sheetId="2" r:id="rId2"/>
    <sheet name="Resumen" sheetId="3" r:id="rId3"/>
    <sheet name="Referenci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D22" i="3"/>
  <c r="C22" i="3"/>
  <c r="G22" i="3" s="1"/>
  <c r="E21" i="3"/>
  <c r="D21" i="3"/>
  <c r="C21" i="3"/>
  <c r="G21" i="3" s="1"/>
  <c r="G20" i="3"/>
  <c r="E20" i="3"/>
  <c r="D20" i="3"/>
  <c r="C20" i="3"/>
  <c r="F20" i="3" s="1"/>
  <c r="E19" i="3"/>
  <c r="D19" i="3"/>
  <c r="G19" i="3" s="1"/>
  <c r="C19" i="3"/>
  <c r="F19" i="3" s="1"/>
  <c r="G18" i="3"/>
  <c r="E18" i="3"/>
  <c r="D18" i="3"/>
  <c r="C18" i="3"/>
  <c r="F18" i="3" s="1"/>
  <c r="G17" i="3"/>
  <c r="F17" i="3"/>
  <c r="E17" i="3"/>
  <c r="D17" i="3"/>
  <c r="C17" i="3"/>
  <c r="E16" i="3"/>
  <c r="D16" i="3"/>
  <c r="C16" i="3"/>
  <c r="G16" i="3" s="1"/>
  <c r="E15" i="3"/>
  <c r="D15" i="3"/>
  <c r="C15" i="3"/>
  <c r="G15" i="3" s="1"/>
  <c r="E14" i="3"/>
  <c r="D14" i="3"/>
  <c r="C14" i="3"/>
  <c r="G14" i="3" s="1"/>
  <c r="E13" i="3"/>
  <c r="D13" i="3"/>
  <c r="C13" i="3"/>
  <c r="G13" i="3" s="1"/>
  <c r="C9" i="3"/>
  <c r="C8" i="3"/>
  <c r="C7" i="3"/>
  <c r="C6" i="3"/>
  <c r="C5" i="3"/>
  <c r="F14" i="3" l="1"/>
  <c r="F16" i="3"/>
  <c r="F13" i="3"/>
  <c r="F21" i="3"/>
  <c r="F15" i="3"/>
  <c r="F22" i="3"/>
</calcChain>
</file>

<file path=xl/sharedStrings.xml><?xml version="1.0" encoding="utf-8"?>
<sst xmlns="http://schemas.openxmlformats.org/spreadsheetml/2006/main" count="173" uniqueCount="147">
  <si>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</si>
  <si>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</si>
  <si>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</si>
  <si>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</si>
  <si>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</si>
  <si>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</si>
  <si>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</si>
  <si>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</si>
  <si>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</si>
  <si>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</si>
  <si>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</si>
  <si>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</si>
  <si>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</si>
  <si>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</si>
  <si>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</si>
  <si>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</si>
  <si>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</si>
  <si>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</si>
  <si>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</si>
  <si>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</si>
  <si>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</si>
  <si>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</si>
  <si>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</si>
  <si>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</si>
  <si>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</si>
  <si>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</si>
  <si>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</si>
  <si>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</si>
  <si>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</si>
  <si>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</si>
  <si>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</si>
  <si>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H1 - Visibilidad del estado</t>
  </si>
  <si>
    <t>No se muestra un indicador de carga al enviar formularios.</t>
  </si>
  <si>
    <t>Formulario de registro</t>
  </si>
  <si>
    <t>Observación manual</t>
  </si>
  <si>
    <t>Agregar spinner o barra de progreso.</t>
  </si>
  <si>
    <t>Estudiante</t>
  </si>
  <si>
    <t>H2 - Sistema y mundo real</t>
  </si>
  <si>
    <t>Se utilizan términos técnicos que pueden confundir al usuario.</t>
  </si>
  <si>
    <t>Mensajes del sistema</t>
  </si>
  <si>
    <t>Usar lenguaje más cercano al usuario.</t>
  </si>
  <si>
    <t>H3 - Control y libertad</t>
  </si>
  <si>
    <t>No existe opción para cancelar una acción en proceso.</t>
  </si>
  <si>
    <t>Proceso de creación</t>
  </si>
  <si>
    <t>Agregar botón Cancelar o Deshacer.</t>
  </si>
  <si>
    <t>H4 - Consistencia y estándares</t>
  </si>
  <si>
    <t>Botones con la misma función tienen nombres distintos.</t>
  </si>
  <si>
    <t>Varias pantallas</t>
  </si>
  <si>
    <t>Unificar nomenclatura y diseño.</t>
  </si>
  <si>
    <t>H5 - Prevención de errores</t>
  </si>
  <si>
    <t>Se permite enviar formularios incompletos.</t>
  </si>
  <si>
    <t>Formulario principal</t>
  </si>
  <si>
    <t>Validar campos obligatorios antes del envío.</t>
  </si>
  <si>
    <t>H6 - Reconocimiento &gt; recuerdo</t>
  </si>
  <si>
    <t>El usuario debe recordar información de pantallas anteriores.</t>
  </si>
  <si>
    <t>Flujo de navegación</t>
  </si>
  <si>
    <t>Mostrar información relevante durante el proceso.</t>
  </si>
  <si>
    <t>H7 - Flexibilidad y eficiencia</t>
  </si>
  <si>
    <t>No existen atajos para usuarios frecuentes.</t>
  </si>
  <si>
    <t>Gestión de registros</t>
  </si>
  <si>
    <t>Incorporar accesos rápidos y automatizaciones.</t>
  </si>
  <si>
    <t>H8 - Diseño minimalista</t>
  </si>
  <si>
    <t>La pantalla contiene información poco relevante para la tarea.</t>
  </si>
  <si>
    <t>Panel principal</t>
  </si>
  <si>
    <t>Reducir elementos visuales innecesarios.</t>
  </si>
  <si>
    <t>H9 - Recuperación de errores</t>
  </si>
  <si>
    <t>Los mensajes de error no indican cómo solucionar el problema.</t>
  </si>
  <si>
    <t>Validación de datos</t>
  </si>
  <si>
    <t>Mostrar mensajes descriptivos con sugerencias.</t>
  </si>
  <si>
    <t>H10 - Ayuda y documentación</t>
  </si>
  <si>
    <t>No existe ayuda contextual para funciones complejas.</t>
  </si>
  <si>
    <t>Módulo de administración</t>
  </si>
  <si>
    <t>Agregar ayuda contextual y preguntas frecuentes.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</si>
  <si>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</si>
  <si>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</si>
  <si>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</si>
  <si>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</si>
  <si>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</si>
  <si>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</si>
  <si>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</si>
  <si>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</si>
  <si>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</si>
  <si>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</si>
  <si>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</si>
  <si>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</si>
  <si>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</si>
  <si>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</si>
  <si>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H4 - Consistencia y estandares</t>
  </si>
  <si>
    <t>H5 - Prevencion de errores</t>
  </si>
  <si>
    <t>H8 - Diseno minimalista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</si>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</sst>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C2C2A"/>
      <name val="Arial"/>
      <family val="2"/>
    </font>
    <font>
      <b/>
      <sz val="10"/>
      <color rgb="FF5F5E5A"/>
      <name val="Arial"/>
      <family val="2"/>
    </font>
    <font>
      <b/>
      <sz val="13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i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F5E5A"/>
      </patternFill>
    </fill>
    <fill>
      <patternFill patternType="solid">
        <fgColor rgb="FFF8F8F6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8" fillId="0" borderId="2" xfId="0" applyFont="1" applyBorder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0" xfId="0"/>
    <xf numFmtId="0" fontId="5" fillId="5" borderId="0" xfId="0" applyFont="1" applyFill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8">
    <dxf>
      <font>
        <color rgb="FF27500A"/>
        <name val="Arial"/>
      </font>
      <fill>
        <patternFill>
          <bgColor rgb="FFEAF3DE"/>
        </patternFill>
      </fill>
    </dxf>
    <dxf>
      <font>
        <b/>
        <color rgb="FF633806"/>
        <name val="Arial"/>
      </font>
      <fill>
        <patternFill>
          <bgColor rgb="FFFAEEDA"/>
        </patternFill>
      </fill>
    </dxf>
    <dxf>
      <font>
        <b/>
        <color rgb="FF791F1F"/>
        <name val="Arial"/>
      </font>
      <fill>
        <patternFill>
          <bgColor rgb="FFFCEBEB"/>
        </patternFill>
      </fill>
    </dxf>
    <dxf>
      <font>
        <b/>
        <sz val="13"/>
        <color rgb="FF791F1F"/>
        <name val="Arial"/>
      </font>
      <fill>
        <patternFill>
          <bgColor rgb="FFFCEBEB"/>
        </patternFill>
      </fill>
    </dxf>
    <dxf>
      <font>
        <b/>
        <sz val="13"/>
        <color rgb="FF8B4000"/>
        <name val="Arial"/>
      </font>
      <fill>
        <patternFill>
          <bgColor rgb="FFFCEBD0"/>
        </patternFill>
      </fill>
    </dxf>
    <dxf>
      <font>
        <b/>
        <sz val="13"/>
        <color rgb="FF633806"/>
        <name val="Arial"/>
      </font>
      <fill>
        <patternFill>
          <bgColor rgb="FFFAEEDA"/>
        </patternFill>
      </fill>
    </dxf>
    <dxf>
      <font>
        <b/>
        <sz val="13"/>
        <color rgb="FF633806"/>
        <name val="Arial"/>
      </font>
      <fill>
        <patternFill>
          <bgColor rgb="FFFFF9F0"/>
        </patternFill>
      </fill>
    </dxf>
    <dxf>
      <font>
        <b/>
        <sz val="13"/>
        <color rgb="FF5F5E5A"/>
        <name val="Arial"/>
      </font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showGridLines="0" zoomScale="140" zoomScaleNormal="140" workbookViewId="0">
      <selection activeCell="B8" sqref="B8:E8"/>
    </sheetView>
  </sheetViews>
  <sheetFormatPr baseColWidth="10" defaultColWidth="8.77734375" defaultRowHeight="14.4" x14ac:dyDescent="0.3"/>
  <cols>
    <col min="1" max="1" width="2" customWidth="1"/>
    <col min="2" max="2" width="22" customWidth="1"/>
    <col min="3" max="3" width="50" customWidth="1"/>
    <col min="4" max="4" width="22" customWidth="1"/>
    <col min="5" max="5" width="18" customWidth="1"/>
  </cols>
  <sheetData>
    <row r="2" spans="2:5" ht="40.049999999999997" customHeight="1" x14ac:dyDescent="0.3">
      <c r="B2" s="27" t="s">
        <v>0</v>
      </c>
      <c r="C2" s="26"/>
      <c r="D2" s="26"/>
      <c r="E2" s="26"/>
    </row>
    <row r="3" spans="2:5" ht="22.05" customHeight="1" x14ac:dyDescent="0.3">
      <c r="B3" s="25" t="s">
        <v>1</v>
      </c>
      <c r="C3" s="26"/>
      <c r="D3" s="26"/>
      <c r="E3" s="26"/>
    </row>
    <row r="5" spans="2:5" ht="18" customHeight="1" x14ac:dyDescent="0.3">
      <c r="B5" s="28" t="s">
        <v>2</v>
      </c>
      <c r="C5" s="22"/>
      <c r="D5" s="22"/>
      <c r="E5" s="23"/>
    </row>
    <row r="6" spans="2:5" ht="18" customHeight="1" x14ac:dyDescent="0.3">
      <c r="B6" s="21" t="s">
        <v>3</v>
      </c>
      <c r="C6" s="22"/>
      <c r="D6" s="22"/>
      <c r="E6" s="23"/>
    </row>
    <row r="7" spans="2:5" ht="18" customHeight="1" x14ac:dyDescent="0.3">
      <c r="B7" s="21" t="s">
        <v>4</v>
      </c>
      <c r="C7" s="22"/>
      <c r="D7" s="22"/>
      <c r="E7" s="23"/>
    </row>
    <row r="8" spans="2:5" ht="18" customHeight="1" x14ac:dyDescent="0.3">
      <c r="B8" s="21" t="s">
        <v>5</v>
      </c>
      <c r="C8" s="22"/>
      <c r="D8" s="22"/>
      <c r="E8" s="23"/>
    </row>
    <row r="9" spans="2:5" ht="18" customHeight="1" x14ac:dyDescent="0.3">
      <c r="B9" s="21" t="s">
        <v>6</v>
      </c>
      <c r="C9" s="22"/>
      <c r="D9" s="22"/>
      <c r="E9" s="23"/>
    </row>
    <row r="10" spans="2:5" ht="18" customHeight="1" x14ac:dyDescent="0.3">
      <c r="B10" s="21" t="s">
        <v>7</v>
      </c>
      <c r="C10" s="22"/>
      <c r="D10" s="22"/>
      <c r="E10" s="23"/>
    </row>
    <row r="11" spans="2:5" ht="18" customHeight="1" x14ac:dyDescent="0.3">
      <c r="B11" s="21" t="s">
        <v>8</v>
      </c>
      <c r="C11" s="22"/>
      <c r="D11" s="22"/>
      <c r="E11" s="23"/>
    </row>
    <row r="12" spans="2:5" ht="18" customHeight="1" x14ac:dyDescent="0.3">
      <c r="B12" s="21" t="s">
        <v>9</v>
      </c>
      <c r="C12" s="22"/>
      <c r="D12" s="22"/>
      <c r="E12" s="23"/>
    </row>
    <row r="15" spans="2:5" ht="18" customHeight="1" x14ac:dyDescent="0.3">
      <c r="B15" s="24" t="s">
        <v>10</v>
      </c>
      <c r="C15" s="22"/>
      <c r="D15" s="22"/>
      <c r="E15" s="23"/>
    </row>
    <row r="16" spans="2:5" ht="18" customHeight="1" x14ac:dyDescent="0.3">
      <c r="B16" s="7" t="s">
        <v>11</v>
      </c>
      <c r="C16" s="21" t="s">
        <v>12</v>
      </c>
      <c r="D16" s="22"/>
      <c r="E16" s="23"/>
    </row>
    <row r="17" spans="2:5" ht="18" customHeight="1" x14ac:dyDescent="0.3">
      <c r="B17" s="7" t="s">
        <v>13</v>
      </c>
      <c r="C17" s="21" t="s">
        <v>14</v>
      </c>
      <c r="D17" s="22"/>
      <c r="E17" s="23"/>
    </row>
    <row r="18" spans="2:5" ht="18" customHeight="1" x14ac:dyDescent="0.3">
      <c r="B18" s="7" t="s">
        <v>15</v>
      </c>
      <c r="C18" s="21" t="s">
        <v>16</v>
      </c>
      <c r="D18" s="22"/>
      <c r="E18" s="23"/>
    </row>
    <row r="19" spans="2:5" ht="18" customHeight="1" x14ac:dyDescent="0.3">
      <c r="B19" s="7" t="s">
        <v>17</v>
      </c>
      <c r="C19" s="21" t="s">
        <v>18</v>
      </c>
      <c r="D19" s="22"/>
      <c r="E19" s="23"/>
    </row>
    <row r="20" spans="2:5" ht="18" customHeight="1" x14ac:dyDescent="0.3">
      <c r="B20" s="7" t="s">
        <v>19</v>
      </c>
      <c r="C20" s="21" t="s">
        <v>20</v>
      </c>
      <c r="D20" s="22"/>
      <c r="E20" s="23"/>
    </row>
  </sheetData>
  <mergeCells count="16">
    <mergeCell ref="B3:E3"/>
    <mergeCell ref="B2:E2"/>
    <mergeCell ref="B5:E5"/>
    <mergeCell ref="B10:E10"/>
    <mergeCell ref="C20:E20"/>
    <mergeCell ref="B6:E6"/>
    <mergeCell ref="C18:E18"/>
    <mergeCell ref="B15:E15"/>
    <mergeCell ref="B7:E7"/>
    <mergeCell ref="B11:E11"/>
    <mergeCell ref="C17:E17"/>
    <mergeCell ref="C16:E16"/>
    <mergeCell ref="B9:E9"/>
    <mergeCell ref="B8:E8"/>
    <mergeCell ref="C19:E19"/>
    <mergeCell ref="B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tabSelected="1" workbookViewId="0">
      <pane ySplit="3" topLeftCell="A4" activePane="bottomLeft" state="frozen"/>
      <selection pane="bottomLeft" activeCell="E5" sqref="E5"/>
    </sheetView>
  </sheetViews>
  <sheetFormatPr baseColWidth="10" defaultColWidth="8.77734375" defaultRowHeight="14.4" x14ac:dyDescent="0.3"/>
  <cols>
    <col min="1" max="1" width="5" customWidth="1"/>
    <col min="2" max="2" width="16" customWidth="1"/>
    <col min="3" max="3" width="32" customWidth="1"/>
    <col min="4" max="4" width="28" customWidth="1"/>
    <col min="5" max="5" width="12" customWidth="1"/>
    <col min="6" max="6" width="26" customWidth="1"/>
    <col min="7" max="7" width="30" customWidth="1"/>
    <col min="8" max="8" width="16" customWidth="1"/>
  </cols>
  <sheetData>
    <row r="1" spans="1:8" ht="31.95" customHeight="1" x14ac:dyDescent="0.3">
      <c r="A1" s="30" t="s">
        <v>21</v>
      </c>
      <c r="B1" s="26"/>
      <c r="C1" s="26"/>
      <c r="D1" s="26"/>
      <c r="E1" s="26"/>
      <c r="F1" s="26"/>
      <c r="G1" s="26"/>
      <c r="H1" s="26"/>
    </row>
    <row r="2" spans="1:8" ht="16.05" customHeight="1" x14ac:dyDescent="0.3">
      <c r="A2" s="29" t="s">
        <v>22</v>
      </c>
      <c r="B2" s="26"/>
      <c r="C2" s="26"/>
      <c r="D2" s="26"/>
      <c r="E2" s="26"/>
      <c r="F2" s="26"/>
      <c r="G2" s="26"/>
      <c r="H2" s="26"/>
    </row>
    <row r="3" spans="1:8" ht="31.95" customHeight="1" x14ac:dyDescent="0.3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  <c r="G3" s="8" t="s">
        <v>29</v>
      </c>
      <c r="H3" s="8" t="s">
        <v>30</v>
      </c>
    </row>
    <row r="4" spans="1:8" ht="42" customHeight="1" x14ac:dyDescent="0.3">
      <c r="A4" s="2">
        <v>1</v>
      </c>
      <c r="B4" s="3" t="s">
        <v>31</v>
      </c>
      <c r="C4" s="3" t="s">
        <v>32</v>
      </c>
      <c r="D4" s="3" t="s">
        <v>33</v>
      </c>
      <c r="E4" s="4">
        <v>2</v>
      </c>
      <c r="F4" s="3" t="s">
        <v>34</v>
      </c>
      <c r="G4" s="3" t="s">
        <v>35</v>
      </c>
      <c r="H4" s="3" t="s">
        <v>36</v>
      </c>
    </row>
    <row r="5" spans="1:8" ht="42" customHeight="1" x14ac:dyDescent="0.3">
      <c r="A5" s="5">
        <v>2</v>
      </c>
      <c r="B5" s="1" t="s">
        <v>37</v>
      </c>
      <c r="C5" s="1" t="s">
        <v>38</v>
      </c>
      <c r="D5" s="1" t="s">
        <v>39</v>
      </c>
      <c r="E5" s="6">
        <v>2</v>
      </c>
      <c r="F5" s="1" t="s">
        <v>34</v>
      </c>
      <c r="G5" s="1" t="s">
        <v>40</v>
      </c>
      <c r="H5" s="1" t="s">
        <v>36</v>
      </c>
    </row>
    <row r="6" spans="1:8" ht="42" customHeight="1" x14ac:dyDescent="0.3">
      <c r="A6" s="2">
        <v>3</v>
      </c>
      <c r="B6" s="3" t="s">
        <v>41</v>
      </c>
      <c r="C6" s="3" t="s">
        <v>42</v>
      </c>
      <c r="D6" s="3" t="s">
        <v>43</v>
      </c>
      <c r="E6" s="4">
        <v>3</v>
      </c>
      <c r="F6" s="3" t="s">
        <v>34</v>
      </c>
      <c r="G6" s="3" t="s">
        <v>44</v>
      </c>
      <c r="H6" s="3" t="s">
        <v>36</v>
      </c>
    </row>
    <row r="7" spans="1:8" ht="42" customHeight="1" x14ac:dyDescent="0.3">
      <c r="A7" s="5">
        <v>4</v>
      </c>
      <c r="B7" s="1" t="s">
        <v>45</v>
      </c>
      <c r="C7" s="1" t="s">
        <v>46</v>
      </c>
      <c r="D7" s="1" t="s">
        <v>47</v>
      </c>
      <c r="E7" s="6">
        <v>2</v>
      </c>
      <c r="F7" s="1" t="s">
        <v>34</v>
      </c>
      <c r="G7" s="1" t="s">
        <v>48</v>
      </c>
      <c r="H7" s="1" t="s">
        <v>36</v>
      </c>
    </row>
    <row r="8" spans="1:8" ht="42" customHeight="1" x14ac:dyDescent="0.3">
      <c r="A8" s="2">
        <v>5</v>
      </c>
      <c r="B8" s="3" t="s">
        <v>49</v>
      </c>
      <c r="C8" s="3" t="s">
        <v>50</v>
      </c>
      <c r="D8" s="3" t="s">
        <v>51</v>
      </c>
      <c r="E8" s="4">
        <v>3</v>
      </c>
      <c r="F8" s="3" t="s">
        <v>34</v>
      </c>
      <c r="G8" s="3" t="s">
        <v>52</v>
      </c>
      <c r="H8" s="3" t="s">
        <v>36</v>
      </c>
    </row>
    <row r="9" spans="1:8" ht="42" customHeight="1" x14ac:dyDescent="0.3">
      <c r="A9" s="5">
        <v>6</v>
      </c>
      <c r="B9" s="1" t="s">
        <v>53</v>
      </c>
      <c r="C9" s="1" t="s">
        <v>54</v>
      </c>
      <c r="D9" s="1" t="s">
        <v>55</v>
      </c>
      <c r="E9" s="6">
        <v>2</v>
      </c>
      <c r="F9" s="1" t="s">
        <v>34</v>
      </c>
      <c r="G9" s="1" t="s">
        <v>56</v>
      </c>
      <c r="H9" s="1" t="s">
        <v>36</v>
      </c>
    </row>
    <row r="10" spans="1:8" ht="42" customHeight="1" x14ac:dyDescent="0.3">
      <c r="A10" s="2">
        <v>7</v>
      </c>
      <c r="B10" s="3" t="s">
        <v>57</v>
      </c>
      <c r="C10" s="3" t="s">
        <v>58</v>
      </c>
      <c r="D10" s="3" t="s">
        <v>59</v>
      </c>
      <c r="E10" s="4">
        <v>1</v>
      </c>
      <c r="F10" s="3" t="s">
        <v>34</v>
      </c>
      <c r="G10" s="3" t="s">
        <v>60</v>
      </c>
      <c r="H10" s="3" t="s">
        <v>36</v>
      </c>
    </row>
    <row r="11" spans="1:8" ht="42" customHeight="1" x14ac:dyDescent="0.3">
      <c r="A11" s="5">
        <v>8</v>
      </c>
      <c r="B11" s="1" t="s">
        <v>61</v>
      </c>
      <c r="C11" s="1" t="s">
        <v>62</v>
      </c>
      <c r="D11" s="1" t="s">
        <v>63</v>
      </c>
      <c r="E11" s="6">
        <v>2</v>
      </c>
      <c r="F11" s="1" t="s">
        <v>34</v>
      </c>
      <c r="G11" s="1" t="s">
        <v>64</v>
      </c>
      <c r="H11" s="1" t="s">
        <v>36</v>
      </c>
    </row>
    <row r="12" spans="1:8" ht="42" customHeight="1" x14ac:dyDescent="0.3">
      <c r="A12" s="2">
        <v>9</v>
      </c>
      <c r="B12" s="3" t="s">
        <v>65</v>
      </c>
      <c r="C12" s="3" t="s">
        <v>66</v>
      </c>
      <c r="D12" s="3" t="s">
        <v>67</v>
      </c>
      <c r="E12" s="4">
        <v>3</v>
      </c>
      <c r="F12" s="3" t="s">
        <v>34</v>
      </c>
      <c r="G12" s="3" t="s">
        <v>68</v>
      </c>
      <c r="H12" s="3" t="s">
        <v>36</v>
      </c>
    </row>
    <row r="13" spans="1:8" ht="42" customHeight="1" x14ac:dyDescent="0.3">
      <c r="A13" s="5">
        <v>10</v>
      </c>
      <c r="B13" s="1" t="s">
        <v>69</v>
      </c>
      <c r="C13" s="1" t="s">
        <v>70</v>
      </c>
      <c r="D13" s="1" t="s">
        <v>71</v>
      </c>
      <c r="E13" s="6">
        <v>2</v>
      </c>
      <c r="F13" s="1" t="s">
        <v>34</v>
      </c>
      <c r="G13" s="1" t="s">
        <v>72</v>
      </c>
      <c r="H13" s="1" t="s">
        <v>36</v>
      </c>
    </row>
    <row r="14" spans="1:8" ht="42" customHeight="1" x14ac:dyDescent="0.3">
      <c r="A14" s="2">
        <v>11</v>
      </c>
      <c r="B14" s="3"/>
      <c r="C14" s="3"/>
      <c r="D14" s="3"/>
      <c r="E14" s="4"/>
      <c r="F14" s="3"/>
      <c r="G14" s="3"/>
      <c r="H14" s="3"/>
    </row>
    <row r="15" spans="1:8" ht="42" customHeight="1" x14ac:dyDescent="0.3">
      <c r="A15" s="5">
        <v>12</v>
      </c>
      <c r="B15" s="1"/>
      <c r="C15" s="1"/>
      <c r="D15" s="1"/>
      <c r="E15" s="6"/>
      <c r="F15" s="1"/>
      <c r="G15" s="1"/>
      <c r="H15" s="1"/>
    </row>
    <row r="16" spans="1:8" ht="42" customHeight="1" x14ac:dyDescent="0.3">
      <c r="A16" s="2">
        <v>13</v>
      </c>
      <c r="B16" s="3"/>
      <c r="C16" s="3"/>
      <c r="D16" s="3"/>
      <c r="E16" s="4"/>
      <c r="F16" s="3"/>
      <c r="G16" s="3"/>
      <c r="H16" s="3"/>
    </row>
    <row r="17" spans="1:8" ht="42" customHeight="1" x14ac:dyDescent="0.3">
      <c r="A17" s="5">
        <v>14</v>
      </c>
      <c r="B17" s="1"/>
      <c r="C17" s="1"/>
      <c r="D17" s="1"/>
      <c r="E17" s="6"/>
      <c r="F17" s="1"/>
      <c r="G17" s="1"/>
      <c r="H17" s="1"/>
    </row>
    <row r="18" spans="1:8" ht="42" customHeight="1" x14ac:dyDescent="0.3">
      <c r="A18" s="2">
        <v>15</v>
      </c>
      <c r="B18" s="3"/>
      <c r="C18" s="3"/>
      <c r="D18" s="3"/>
      <c r="E18" s="4"/>
      <c r="F18" s="3"/>
      <c r="G18" s="3"/>
      <c r="H18" s="3"/>
    </row>
    <row r="19" spans="1:8" ht="42" customHeight="1" x14ac:dyDescent="0.3">
      <c r="A19" s="5">
        <v>16</v>
      </c>
      <c r="B19" s="1"/>
      <c r="C19" s="1"/>
      <c r="D19" s="1"/>
      <c r="E19" s="6"/>
      <c r="F19" s="1"/>
      <c r="G19" s="1"/>
      <c r="H19" s="1"/>
    </row>
    <row r="20" spans="1:8" ht="42" customHeight="1" x14ac:dyDescent="0.3">
      <c r="A20" s="2">
        <v>17</v>
      </c>
      <c r="B20" s="3"/>
      <c r="C20" s="3"/>
      <c r="D20" s="3"/>
      <c r="E20" s="4"/>
      <c r="F20" s="3"/>
      <c r="G20" s="3"/>
      <c r="H20" s="3"/>
    </row>
    <row r="21" spans="1:8" ht="42" customHeight="1" x14ac:dyDescent="0.3">
      <c r="A21" s="5">
        <v>18</v>
      </c>
      <c r="B21" s="1"/>
      <c r="C21" s="1"/>
      <c r="D21" s="1"/>
      <c r="E21" s="6"/>
      <c r="F21" s="1"/>
      <c r="G21" s="1"/>
      <c r="H21" s="1"/>
    </row>
    <row r="22" spans="1:8" ht="42" customHeight="1" x14ac:dyDescent="0.3">
      <c r="A22" s="2">
        <v>19</v>
      </c>
      <c r="B22" s="3"/>
      <c r="C22" s="3"/>
      <c r="D22" s="3"/>
      <c r="E22" s="4"/>
      <c r="F22" s="3"/>
      <c r="G22" s="3"/>
      <c r="H22" s="3"/>
    </row>
    <row r="23" spans="1:8" ht="42" customHeight="1" x14ac:dyDescent="0.3">
      <c r="A23" s="5">
        <v>20</v>
      </c>
      <c r="B23" s="1"/>
      <c r="C23" s="1"/>
      <c r="D23" s="1"/>
      <c r="E23" s="6"/>
      <c r="F23" s="1"/>
      <c r="G23" s="1"/>
      <c r="H23" s="1"/>
    </row>
    <row r="24" spans="1:8" ht="42" customHeight="1" x14ac:dyDescent="0.3">
      <c r="A24" s="2">
        <v>21</v>
      </c>
      <c r="B24" s="3"/>
      <c r="C24" s="3"/>
      <c r="D24" s="3"/>
      <c r="E24" s="4"/>
      <c r="F24" s="3"/>
      <c r="G24" s="3"/>
      <c r="H24" s="3"/>
    </row>
    <row r="25" spans="1:8" ht="42" customHeight="1" x14ac:dyDescent="0.3">
      <c r="A25" s="5">
        <v>22</v>
      </c>
      <c r="B25" s="1"/>
      <c r="C25" s="1"/>
      <c r="D25" s="1"/>
      <c r="E25" s="6"/>
      <c r="F25" s="1"/>
      <c r="G25" s="1"/>
      <c r="H25" s="1"/>
    </row>
    <row r="26" spans="1:8" ht="42" customHeight="1" x14ac:dyDescent="0.3">
      <c r="A26" s="2">
        <v>23</v>
      </c>
      <c r="B26" s="3"/>
      <c r="C26" s="3"/>
      <c r="D26" s="3"/>
      <c r="E26" s="4"/>
      <c r="F26" s="3"/>
      <c r="G26" s="3"/>
      <c r="H26" s="3"/>
    </row>
    <row r="27" spans="1:8" ht="42" customHeight="1" x14ac:dyDescent="0.3">
      <c r="A27" s="5">
        <v>24</v>
      </c>
      <c r="B27" s="1"/>
      <c r="C27" s="1"/>
      <c r="D27" s="1"/>
      <c r="E27" s="6"/>
      <c r="F27" s="1"/>
      <c r="G27" s="1"/>
      <c r="H27" s="1"/>
    </row>
    <row r="28" spans="1:8" ht="42" customHeight="1" x14ac:dyDescent="0.3">
      <c r="A28" s="2">
        <v>25</v>
      </c>
      <c r="B28" s="3"/>
      <c r="C28" s="3"/>
      <c r="D28" s="3"/>
      <c r="E28" s="4"/>
      <c r="F28" s="3"/>
      <c r="G28" s="3"/>
      <c r="H28" s="3"/>
    </row>
  </sheetData>
  <mergeCells count="2">
    <mergeCell ref="A2:H2"/>
    <mergeCell ref="A1:H1"/>
  </mergeCells>
  <conditionalFormatting sqref="E4:E28">
    <cfRule type="cellIs" dxfId="7" priority="1" operator="equal">
      <formula>0</formula>
    </cfRule>
    <cfRule type="cellIs" dxfId="6" priority="2" operator="equal">
      <formula>1</formula>
    </cfRule>
    <cfRule type="cellIs" dxfId="5" priority="3" operator="equal">
      <formula>2</formula>
    </cfRule>
    <cfRule type="cellIs" dxfId="4" priority="4" operator="equal">
      <formula>3</formula>
    </cfRule>
    <cfRule type="cellIs" dxfId="3" priority="5" operator="equal">
      <formula>4</formula>
    </cfRule>
  </conditionalFormatting>
  <dataValidations count="2">
    <dataValidation type="list" allowBlank="1" showErrorMessage="1" errorTitle="Valor invalido" error="Seleccione una heuristica de la lista." sqref="B4 B5 B6 B7 B8 B9 B10 B11 B12 B13 B14 B15 B16 B17 B18 B19 B20 B21 B22 B23 B24 B25 B26 B27 B28" xr:uid="{00000000-0002-0000-0100-000000000000}">
      <formula1>_xlfn._LONGTEXT("H1 -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</dataValidation>
    <dataValidation type="whole" allowBlank="1" showInputMessage="1" showErrorMessage="1" errorTitle="Severidad invalida" error="Ingrese un numero entre 0 y 4." promptTitle="Escala de severidad" prompt="0=No problema  1=Cosmético  2=Menor  3=Mayor  4=Catastrófico" sqref="E4 E5 E6 E7 E8 E9 E10 E11 E12 E13 E14 E15 E16 E17 E18 E19 E20 E21 E22 E23 E24 E25 E26 E27 E28" xr:uid="{00000000-0002-0000-0100-000001000000}">
      <formula1>0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2"/>
  <sheetViews>
    <sheetView showGridLines="0" workbookViewId="0">
      <selection activeCell="A23" sqref="A23"/>
    </sheetView>
  </sheetViews>
  <sheetFormatPr baseColWidth="10" defaultColWidth="8.77734375" defaultRowHeight="14.4" x14ac:dyDescent="0.3"/>
  <cols>
    <col min="1" max="1" width="3" customWidth="1"/>
    <col min="2" max="2" width="28" customWidth="1"/>
    <col min="3" max="5" width="14" customWidth="1"/>
    <col min="6" max="6" width="18" customWidth="1"/>
    <col min="7" max="7" width="20" customWidth="1"/>
  </cols>
  <sheetData>
    <row r="1" spans="2:7" ht="31.95" customHeight="1" x14ac:dyDescent="0.3">
      <c r="B1" s="30" t="s">
        <v>73</v>
      </c>
      <c r="C1" s="26"/>
      <c r="D1" s="26"/>
      <c r="E1" s="26"/>
      <c r="F1" s="26"/>
      <c r="G1" s="26"/>
    </row>
    <row r="2" spans="2:7" ht="16.05" customHeight="1" x14ac:dyDescent="0.3">
      <c r="B2" s="29" t="s">
        <v>74</v>
      </c>
      <c r="C2" s="26"/>
      <c r="D2" s="26"/>
      <c r="E2" s="26"/>
      <c r="F2" s="26"/>
      <c r="G2" s="26"/>
    </row>
    <row r="4" spans="2:7" ht="18" customHeight="1" x14ac:dyDescent="0.3">
      <c r="B4" s="33" t="s">
        <v>75</v>
      </c>
      <c r="C4" s="26"/>
      <c r="D4" s="26"/>
      <c r="E4" s="26"/>
      <c r="F4" s="26"/>
      <c r="G4" s="26"/>
    </row>
    <row r="5" spans="2:7" ht="22.05" customHeight="1" x14ac:dyDescent="0.3">
      <c r="B5" s="9" t="s">
        <v>76</v>
      </c>
      <c r="C5" s="32">
        <f>COUNTA(Evaluacion!C4:C28)</f>
        <v>10</v>
      </c>
      <c r="D5" s="23"/>
    </row>
    <row r="6" spans="2:7" ht="22.05" customHeight="1" x14ac:dyDescent="0.3">
      <c r="B6" s="9" t="s">
        <v>77</v>
      </c>
      <c r="C6" s="31">
        <f>IFERROR(AVERAGE(Evaluacion!E4:E28),0)</f>
        <v>2.2000000000000002</v>
      </c>
      <c r="D6" s="23"/>
    </row>
    <row r="7" spans="2:7" ht="22.05" customHeight="1" x14ac:dyDescent="0.3">
      <c r="B7" s="9" t="s">
        <v>78</v>
      </c>
      <c r="C7" s="32">
        <f>COUNTIF(Evaluacion!E4:E28,4)</f>
        <v>0</v>
      </c>
      <c r="D7" s="23"/>
    </row>
    <row r="8" spans="2:7" ht="22.05" customHeight="1" x14ac:dyDescent="0.3">
      <c r="B8" s="9" t="s">
        <v>79</v>
      </c>
      <c r="C8" s="32">
        <f>COUNTIF(Evaluacion!E4:E28,3)</f>
        <v>3</v>
      </c>
      <c r="D8" s="23"/>
    </row>
    <row r="9" spans="2:7" ht="22.05" customHeight="1" x14ac:dyDescent="0.3">
      <c r="B9" s="9" t="s">
        <v>80</v>
      </c>
      <c r="C9" s="32">
        <f>COUNTIFS(Evaluacion!E4:E28,"&gt;=1",Evaluacion!E4:E28,"&lt;=2")</f>
        <v>7</v>
      </c>
      <c r="D9" s="23"/>
    </row>
    <row r="11" spans="2:7" ht="18" customHeight="1" x14ac:dyDescent="0.3">
      <c r="B11" s="34" t="s">
        <v>81</v>
      </c>
      <c r="C11" s="26"/>
      <c r="D11" s="26"/>
      <c r="E11" s="26"/>
      <c r="F11" s="26"/>
      <c r="G11" s="26"/>
    </row>
    <row r="12" spans="2:7" ht="19.95" customHeight="1" x14ac:dyDescent="0.3">
      <c r="B12" s="8" t="s">
        <v>24</v>
      </c>
      <c r="C12" s="8" t="s">
        <v>82</v>
      </c>
      <c r="D12" s="8" t="s">
        <v>83</v>
      </c>
      <c r="E12" s="8" t="s">
        <v>84</v>
      </c>
      <c r="F12" s="8" t="s">
        <v>85</v>
      </c>
      <c r="G12" s="8" t="s">
        <v>86</v>
      </c>
    </row>
    <row r="13" spans="2:7" ht="19.95" customHeight="1" x14ac:dyDescent="0.3">
      <c r="B13" s="10" t="s">
        <v>31</v>
      </c>
      <c r="C13" s="16">
        <f>COUNTIF(Evaluacion!B4:B28,"*H1*")</f>
        <v>2</v>
      </c>
      <c r="D13" s="16">
        <f ca="1">IFERROR(_xludf.MAXIFS(Evaluacion!E4:E28,Evaluacion!B4:B28,"*H1*"),0)</f>
        <v>0</v>
      </c>
      <c r="E13" s="11">
        <f>IFERROR(AVERAGEIF(Evaluacion!B4:B28,"*H1*",Evaluacion!E4:E28),0)</f>
        <v>2</v>
      </c>
      <c r="F13" s="12" t="str">
        <f t="shared" ref="F13:F22" ca="1" si="0">IF(C13=0,"Sin problemas",IF(D13&gt;=4,"CRITICO",IF(D13&gt;=3,"MAYOR","MENOR")))</f>
        <v>MENOR</v>
      </c>
      <c r="G13" s="12" t="str">
        <f t="shared" ref="G13:G22" ca="1" si="1">IF(C13=0,"Sin problemas",IF(D13=4,"1 - Inmediata",IF(D13=3,"2 - Alta",IF(D13=2,"3 - Media","4 - Baja"))))</f>
        <v>4 - Baja</v>
      </c>
    </row>
    <row r="14" spans="2:7" ht="19.95" customHeight="1" x14ac:dyDescent="0.3">
      <c r="B14" s="13" t="s">
        <v>37</v>
      </c>
      <c r="C14" s="17">
        <f>COUNTIF(Evaluacion!B4:B28,"*H2*")</f>
        <v>1</v>
      </c>
      <c r="D14" s="17">
        <f ca="1">IFERROR(_xludf.MAXIFS(Evaluacion!E4:E28,Evaluacion!B4:B28,"*H2*"),0)</f>
        <v>0</v>
      </c>
      <c r="E14" s="14">
        <f>IFERROR(AVERAGEIF(Evaluacion!B4:B28,"*H2*",Evaluacion!E4:E28),0)</f>
        <v>2</v>
      </c>
      <c r="F14" s="15" t="str">
        <f t="shared" ca="1" si="0"/>
        <v>MENOR</v>
      </c>
      <c r="G14" s="15" t="str">
        <f t="shared" ca="1" si="1"/>
        <v>4 - Baja</v>
      </c>
    </row>
    <row r="15" spans="2:7" ht="19.95" customHeight="1" x14ac:dyDescent="0.3">
      <c r="B15" s="10" t="s">
        <v>41</v>
      </c>
      <c r="C15" s="16">
        <f>COUNTIF(Evaluacion!B4:B28,"*H3*")</f>
        <v>1</v>
      </c>
      <c r="D15" s="16">
        <f ca="1">IFERROR(_xludf.MAXIFS(Evaluacion!E4:E28,Evaluacion!B4:B28,"*H3*"),0)</f>
        <v>0</v>
      </c>
      <c r="E15" s="11">
        <f>IFERROR(AVERAGEIF(Evaluacion!B4:B28,"*H3*",Evaluacion!E4:E28),0)</f>
        <v>3</v>
      </c>
      <c r="F15" s="12" t="str">
        <f t="shared" ca="1" si="0"/>
        <v>MENOR</v>
      </c>
      <c r="G15" s="12" t="str">
        <f t="shared" ca="1" si="1"/>
        <v>4 - Baja</v>
      </c>
    </row>
    <row r="16" spans="2:7" ht="19.95" customHeight="1" x14ac:dyDescent="0.3">
      <c r="B16" s="13" t="s">
        <v>87</v>
      </c>
      <c r="C16" s="17">
        <f>COUNTIF(Evaluacion!B4:B28,"*H4*")</f>
        <v>1</v>
      </c>
      <c r="D16" s="17">
        <f ca="1">IFERROR(_xludf.MAXIFS(Evaluacion!E4:E28,Evaluacion!B4:B28,"*H4*"),0)</f>
        <v>0</v>
      </c>
      <c r="E16" s="14">
        <f>IFERROR(AVERAGEIF(Evaluacion!B4:B28,"*H4*",Evaluacion!E4:E28),0)</f>
        <v>2</v>
      </c>
      <c r="F16" s="15" t="str">
        <f t="shared" ca="1" si="0"/>
        <v>MENOR</v>
      </c>
      <c r="G16" s="15" t="str">
        <f t="shared" ca="1" si="1"/>
        <v>4 - Baja</v>
      </c>
    </row>
    <row r="17" spans="2:7" ht="19.95" customHeight="1" x14ac:dyDescent="0.3">
      <c r="B17" s="10" t="s">
        <v>88</v>
      </c>
      <c r="C17" s="16">
        <f>COUNTIF(Evaluacion!B4:B28,"*H5*")</f>
        <v>1</v>
      </c>
      <c r="D17" s="16">
        <f ca="1">IFERROR(_xludf.MAXIFS(Evaluacion!E4:E28,Evaluacion!B4:B28,"*H5*"),0)</f>
        <v>0</v>
      </c>
      <c r="E17" s="11">
        <f>IFERROR(AVERAGEIF(Evaluacion!B4:B28,"*H5*",Evaluacion!E4:E28),0)</f>
        <v>3</v>
      </c>
      <c r="F17" s="12" t="str">
        <f t="shared" ca="1" si="0"/>
        <v>MENOR</v>
      </c>
      <c r="G17" s="12" t="str">
        <f t="shared" ca="1" si="1"/>
        <v>4 - Baja</v>
      </c>
    </row>
    <row r="18" spans="2:7" ht="19.95" customHeight="1" x14ac:dyDescent="0.3">
      <c r="B18" s="13" t="s">
        <v>53</v>
      </c>
      <c r="C18" s="17">
        <f>COUNTIF(Evaluacion!B4:B28,"*H6*")</f>
        <v>1</v>
      </c>
      <c r="D18" s="17">
        <f ca="1">IFERROR(_xludf.MAXIFS(Evaluacion!E4:E28,Evaluacion!B4:B28,"*H6*"),0)</f>
        <v>0</v>
      </c>
      <c r="E18" s="14">
        <f>IFERROR(AVERAGEIF(Evaluacion!B4:B28,"*H6*",Evaluacion!E4:E28),0)</f>
        <v>2</v>
      </c>
      <c r="F18" s="15" t="str">
        <f t="shared" ca="1" si="0"/>
        <v>MENOR</v>
      </c>
      <c r="G18" s="15" t="str">
        <f t="shared" ca="1" si="1"/>
        <v>4 - Baja</v>
      </c>
    </row>
    <row r="19" spans="2:7" ht="19.95" customHeight="1" x14ac:dyDescent="0.3">
      <c r="B19" s="10" t="s">
        <v>57</v>
      </c>
      <c r="C19" s="16">
        <f>COUNTIF(Evaluacion!B4:B28,"*H7*")</f>
        <v>1</v>
      </c>
      <c r="D19" s="16">
        <f ca="1">IFERROR(_xludf.MAXIFS(Evaluacion!E4:E28,Evaluacion!B4:B28,"*H7*"),0)</f>
        <v>0</v>
      </c>
      <c r="E19" s="11">
        <f>IFERROR(AVERAGEIF(Evaluacion!B4:B28,"*H7*",Evaluacion!E4:E28),0)</f>
        <v>1</v>
      </c>
      <c r="F19" s="12" t="str">
        <f t="shared" ca="1" si="0"/>
        <v>MENOR</v>
      </c>
      <c r="G19" s="12" t="str">
        <f t="shared" ca="1" si="1"/>
        <v>4 - Baja</v>
      </c>
    </row>
    <row r="20" spans="2:7" ht="19.95" customHeight="1" x14ac:dyDescent="0.3">
      <c r="B20" s="13" t="s">
        <v>89</v>
      </c>
      <c r="C20" s="17">
        <f>COUNTIF(Evaluacion!B4:B28,"*H8*")</f>
        <v>1</v>
      </c>
      <c r="D20" s="17">
        <f ca="1">IFERROR(_xludf.MAXIFS(Evaluacion!E4:E28,Evaluacion!B4:B28,"*H8*"),0)</f>
        <v>0</v>
      </c>
      <c r="E20" s="14">
        <f>IFERROR(AVERAGEIF(Evaluacion!B4:B28,"*H8*",Evaluacion!E4:E28),0)</f>
        <v>2</v>
      </c>
      <c r="F20" s="15" t="str">
        <f t="shared" ca="1" si="0"/>
        <v>MENOR</v>
      </c>
      <c r="G20" s="15" t="str">
        <f t="shared" ca="1" si="1"/>
        <v>4 - Baja</v>
      </c>
    </row>
    <row r="21" spans="2:7" ht="19.95" customHeight="1" x14ac:dyDescent="0.3">
      <c r="B21" s="10" t="s">
        <v>90</v>
      </c>
      <c r="C21" s="16">
        <f>COUNTIF(Evaluacion!B4:B28,"*H9*")</f>
        <v>1</v>
      </c>
      <c r="D21" s="16">
        <f ca="1">IFERROR(_xludf.MAXIFS(Evaluacion!E4:E28,Evaluacion!B4:B28,"*H9*"),0)</f>
        <v>0</v>
      </c>
      <c r="E21" s="11">
        <f>IFERROR(AVERAGEIF(Evaluacion!B4:B28,"*H9*",Evaluacion!E4:E28),0)</f>
        <v>3</v>
      </c>
      <c r="F21" s="12" t="str">
        <f t="shared" ca="1" si="0"/>
        <v>MENOR</v>
      </c>
      <c r="G21" s="12" t="str">
        <f t="shared" ca="1" si="1"/>
        <v>4 - Baja</v>
      </c>
    </row>
    <row r="22" spans="2:7" ht="19.95" customHeight="1" x14ac:dyDescent="0.3">
      <c r="B22" s="13" t="s">
        <v>91</v>
      </c>
      <c r="C22" s="17">
        <f>COUNTIF(Evaluacion!B4:B28,"*H10*")</f>
        <v>1</v>
      </c>
      <c r="D22" s="17">
        <f ca="1">IFERROR(_xludf.MAXIFS(Evaluacion!E4:E28,Evaluacion!B4:B28,"*H10*"),0)</f>
        <v>0</v>
      </c>
      <c r="E22" s="14">
        <f>IFERROR(AVERAGEIF(Evaluacion!B4:B28,"*H10*",Evaluacion!E4:E28),0)</f>
        <v>2</v>
      </c>
      <c r="F22" s="15" t="str">
        <f t="shared" ca="1" si="0"/>
        <v>MENOR</v>
      </c>
      <c r="G22" s="15" t="str">
        <f t="shared" ca="1" si="1"/>
        <v>4 - Baja</v>
      </c>
    </row>
  </sheetData>
  <mergeCells count="9">
    <mergeCell ref="C9:D9"/>
    <mergeCell ref="C8:D8"/>
    <mergeCell ref="B11:G11"/>
    <mergeCell ref="B2:G2"/>
    <mergeCell ref="C6:D6"/>
    <mergeCell ref="C7:D7"/>
    <mergeCell ref="C5:D5"/>
    <mergeCell ref="B1:G1"/>
    <mergeCell ref="B4:G4"/>
  </mergeCells>
  <conditionalFormatting sqref="F13:F22">
    <cfRule type="cellIs" dxfId="2" priority="1" operator="equal">
      <formula>"CRITICO"</formula>
    </cfRule>
    <cfRule type="cellIs" dxfId="1" priority="2" operator="equal">
      <formula>"MAYOR"</formula>
    </cfRule>
    <cfRule type="cellIs" dxfId="0" priority="3" operator="equal">
      <formula>"Sin problemas"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3"/>
  <sheetViews>
    <sheetView showGridLines="0" workbookViewId="0">
      <selection activeCell="C4" sqref="C4"/>
    </sheetView>
  </sheetViews>
  <sheetFormatPr baseColWidth="10" defaultColWidth="8.77734375" defaultRowHeight="14.4" x14ac:dyDescent="0.3"/>
  <cols>
    <col min="1" max="1" width="3" customWidth="1"/>
    <col min="2" max="2" width="7" customWidth="1"/>
    <col min="3" max="3" width="26" customWidth="1"/>
    <col min="4" max="4" width="38" customWidth="1"/>
    <col min="5" max="5" width="32" customWidth="1"/>
    <col min="6" max="6" width="28" customWidth="1"/>
  </cols>
  <sheetData>
    <row r="1" spans="2:6" ht="31.95" customHeight="1" x14ac:dyDescent="0.3">
      <c r="B1" s="30" t="s">
        <v>92</v>
      </c>
      <c r="C1" s="26"/>
      <c r="D1" s="26"/>
      <c r="E1" s="26"/>
      <c r="F1" s="26"/>
    </row>
    <row r="2" spans="2:6" ht="16.05" customHeight="1" x14ac:dyDescent="0.3">
      <c r="B2" s="29" t="s">
        <v>93</v>
      </c>
      <c r="C2" s="26"/>
      <c r="D2" s="26"/>
      <c r="E2" s="26"/>
      <c r="F2" s="26"/>
    </row>
    <row r="3" spans="2:6" ht="22.05" customHeight="1" x14ac:dyDescent="0.3">
      <c r="B3" s="8" t="s">
        <v>23</v>
      </c>
      <c r="C3" s="8" t="s">
        <v>24</v>
      </c>
      <c r="D3" s="8" t="s">
        <v>94</v>
      </c>
      <c r="E3" s="8" t="s">
        <v>95</v>
      </c>
      <c r="F3" s="8" t="s">
        <v>96</v>
      </c>
    </row>
    <row r="4" spans="2:6" ht="58.05" customHeight="1" x14ac:dyDescent="0.3">
      <c r="B4" s="18" t="s">
        <v>97</v>
      </c>
      <c r="C4" s="19" t="s">
        <v>98</v>
      </c>
      <c r="D4" s="20" t="s">
        <v>99</v>
      </c>
      <c r="E4" s="20" t="s">
        <v>100</v>
      </c>
      <c r="F4" s="20" t="s">
        <v>101</v>
      </c>
    </row>
    <row r="5" spans="2:6" ht="58.05" customHeight="1" x14ac:dyDescent="0.3">
      <c r="B5" s="18" t="s">
        <v>102</v>
      </c>
      <c r="C5" s="19" t="s">
        <v>103</v>
      </c>
      <c r="D5" s="20" t="s">
        <v>104</v>
      </c>
      <c r="E5" s="20" t="s">
        <v>105</v>
      </c>
      <c r="F5" s="20" t="s">
        <v>106</v>
      </c>
    </row>
    <row r="6" spans="2:6" ht="58.05" customHeight="1" x14ac:dyDescent="0.3">
      <c r="B6" s="18" t="s">
        <v>107</v>
      </c>
      <c r="C6" s="19" t="s">
        <v>108</v>
      </c>
      <c r="D6" s="20" t="s">
        <v>109</v>
      </c>
      <c r="E6" s="20" t="s">
        <v>110</v>
      </c>
      <c r="F6" s="20" t="s">
        <v>111</v>
      </c>
    </row>
    <row r="7" spans="2:6" ht="58.05" customHeight="1" x14ac:dyDescent="0.3">
      <c r="B7" s="18" t="s">
        <v>112</v>
      </c>
      <c r="C7" s="19" t="s">
        <v>113</v>
      </c>
      <c r="D7" s="20" t="s">
        <v>114</v>
      </c>
      <c r="E7" s="20" t="s">
        <v>115</v>
      </c>
      <c r="F7" s="20" t="s">
        <v>116</v>
      </c>
    </row>
    <row r="8" spans="2:6" ht="58.05" customHeight="1" x14ac:dyDescent="0.3">
      <c r="B8" s="18" t="s">
        <v>117</v>
      </c>
      <c r="C8" s="19" t="s">
        <v>118</v>
      </c>
      <c r="D8" s="20" t="s">
        <v>119</v>
      </c>
      <c r="E8" s="20" t="s">
        <v>120</v>
      </c>
      <c r="F8" s="20" t="s">
        <v>121</v>
      </c>
    </row>
    <row r="9" spans="2:6" ht="58.05" customHeight="1" x14ac:dyDescent="0.3">
      <c r="B9" s="18" t="s">
        <v>122</v>
      </c>
      <c r="C9" s="19" t="s">
        <v>123</v>
      </c>
      <c r="D9" s="20" t="s">
        <v>124</v>
      </c>
      <c r="E9" s="20" t="s">
        <v>125</v>
      </c>
      <c r="F9" s="20" t="s">
        <v>126</v>
      </c>
    </row>
    <row r="10" spans="2:6" ht="58.05" customHeight="1" x14ac:dyDescent="0.3">
      <c r="B10" s="18" t="s">
        <v>127</v>
      </c>
      <c r="C10" s="19" t="s">
        <v>128</v>
      </c>
      <c r="D10" s="20" t="s">
        <v>129</v>
      </c>
      <c r="E10" s="20" t="s">
        <v>130</v>
      </c>
      <c r="F10" s="20" t="s">
        <v>131</v>
      </c>
    </row>
    <row r="11" spans="2:6" ht="58.05" customHeight="1" x14ac:dyDescent="0.3">
      <c r="B11" s="18" t="s">
        <v>132</v>
      </c>
      <c r="C11" s="19" t="s">
        <v>133</v>
      </c>
      <c r="D11" s="20" t="s">
        <v>134</v>
      </c>
      <c r="E11" s="20" t="s">
        <v>135</v>
      </c>
      <c r="F11" s="20" t="s">
        <v>136</v>
      </c>
    </row>
    <row r="12" spans="2:6" ht="58.05" customHeight="1" x14ac:dyDescent="0.3">
      <c r="B12" s="18" t="s">
        <v>137</v>
      </c>
      <c r="C12" s="19" t="s">
        <v>138</v>
      </c>
      <c r="D12" s="20" t="s">
        <v>139</v>
      </c>
      <c r="E12" s="20" t="s">
        <v>140</v>
      </c>
      <c r="F12" s="20" t="s">
        <v>141</v>
      </c>
    </row>
    <row r="13" spans="2:6" ht="58.05" customHeight="1" x14ac:dyDescent="0.3">
      <c r="B13" s="18" t="s">
        <v>142</v>
      </c>
      <c r="C13" s="19" t="s">
        <v>143</v>
      </c>
      <c r="D13" s="20" t="s">
        <v>144</v>
      </c>
      <c r="E13" s="20" t="s">
        <v>145</v>
      </c>
      <c r="F13" s="20" t="s">
        <v>146</v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Evaluacion</vt:lpstr>
      <vt:lpstr>Resumen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EDGARDO VILLA SIERRA</cp:lastModifiedBy>
  <dcterms:created xsi:type="dcterms:W3CDTF">2026-06-12T14:00:04Z</dcterms:created>
  <dcterms:modified xsi:type="dcterms:W3CDTF">2026-06-19T02:45:40Z</dcterms:modified>
</cp:coreProperties>
</file>